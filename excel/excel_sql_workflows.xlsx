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Orders" sheetId="3" state="visible" r:id="rId3"/>
    <sheet name="Exercise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ustomers" displayName="Customers" ref="A1:E13" headerRowCount="1">
  <autoFilter ref="A1:E13"/>
  <tableColumns count="5">
    <tableColumn id="1" name="customer_id"/>
    <tableColumn id="2" name="customer_name"/>
    <tableColumn id="3" name="region"/>
    <tableColumn id="4" name="segment"/>
    <tableColumn id="5" name="crm_lookup_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s" displayName="Products" ref="A1:E8" headerRowCount="1">
  <autoFilter ref="A1:E8"/>
  <tableColumns count="5">
    <tableColumn id="1" name="product_id"/>
    <tableColumn id="2" name="product_name"/>
    <tableColumn id="3" name="category"/>
    <tableColumn id="4" name="list_price"/>
    <tableColumn id="5" name="legacy_sk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rders" displayName="Orders" ref="A1:K53" headerRowCount="1">
  <autoFilter ref="A1:K53"/>
  <tableColumns count="11">
    <tableColumn id="1" name="order_id"/>
    <tableColumn id="2" name="source_order_ref"/>
    <tableColumn id="3" name="order_date"/>
    <tableColumn id="4" name="customer_id"/>
    <tableColumn id="5" name="product_id"/>
    <tableColumn id="6" name="quantity"/>
    <tableColumn id="7" name="unit_price"/>
    <tableColumn id="8" name="discount_pct"/>
    <tableColumn id="9" name="sales_rep"/>
    <tableColumn id="10" name="order_status"/>
    <tableColumn id="11" name="crm_lookup_code_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segment</t>
        </is>
      </c>
      <c r="E1" s="1" t="inlineStr">
        <is>
          <t>crm_lookup_code</t>
        </is>
      </c>
    </row>
    <row r="2">
      <c r="A2" t="inlineStr">
        <is>
          <t>C001</t>
        </is>
      </c>
      <c r="B2" t="inlineStr">
        <is>
          <t>Northwind Outfitters</t>
        </is>
      </c>
      <c r="C2" t="inlineStr">
        <is>
          <t>North</t>
        </is>
      </c>
      <c r="D2" t="inlineStr">
        <is>
          <t>Retail</t>
        </is>
      </c>
      <c r="E2" t="inlineStr">
        <is>
          <t>CRM-NORTH-1</t>
        </is>
      </c>
    </row>
    <row r="3">
      <c r="A3" t="inlineStr">
        <is>
          <t>C002</t>
        </is>
      </c>
      <c r="B3" t="inlineStr">
        <is>
          <t>Harbor Supply Co</t>
        </is>
      </c>
      <c r="C3" t="inlineStr">
        <is>
          <t>West</t>
        </is>
      </c>
      <c r="D3" t="inlineStr">
        <is>
          <t>Wholesale</t>
        </is>
      </c>
      <c r="E3" t="inlineStr">
        <is>
          <t>CRM-WEST-1</t>
        </is>
      </c>
    </row>
    <row r="4">
      <c r="A4" t="inlineStr">
        <is>
          <t>C003</t>
        </is>
      </c>
      <c r="B4" t="inlineStr">
        <is>
          <t>Blue Ridge Stores</t>
        </is>
      </c>
      <c r="C4" t="inlineStr">
        <is>
          <t>East</t>
        </is>
      </c>
      <c r="D4" t="inlineStr">
        <is>
          <t>Retail</t>
        </is>
      </c>
      <c r="E4" t="inlineStr">
        <is>
          <t>CRM-EAST-1</t>
        </is>
      </c>
    </row>
    <row r="5">
      <c r="A5" t="inlineStr">
        <is>
          <t>C004</t>
        </is>
      </c>
      <c r="B5" t="inlineStr">
        <is>
          <t>Prairie Goods</t>
        </is>
      </c>
      <c r="C5" t="inlineStr">
        <is>
          <t>Central</t>
        </is>
      </c>
      <c r="D5" t="inlineStr">
        <is>
          <t>Enterprise</t>
        </is>
      </c>
      <c r="E5" t="inlineStr">
        <is>
          <t>CRM-CENTRAL-1</t>
        </is>
      </c>
    </row>
    <row r="6">
      <c r="A6" t="inlineStr">
        <is>
          <t>C005</t>
        </is>
      </c>
      <c r="B6" t="inlineStr">
        <is>
          <t>Summit Retail Group</t>
        </is>
      </c>
      <c r="C6" t="inlineStr">
        <is>
          <t>North</t>
        </is>
      </c>
      <c r="D6" t="inlineStr">
        <is>
          <t>Enterprise</t>
        </is>
      </c>
      <c r="E6" t="inlineStr">
        <is>
          <t>CRM-NORTH-2</t>
        </is>
      </c>
    </row>
    <row r="7">
      <c r="A7" t="inlineStr">
        <is>
          <t>C006</t>
        </is>
      </c>
      <c r="B7" t="inlineStr">
        <is>
          <t>Citywide Shop</t>
        </is>
      </c>
      <c r="C7" t="inlineStr">
        <is>
          <t>South</t>
        </is>
      </c>
      <c r="D7" t="inlineStr">
        <is>
          <t>Retail</t>
        </is>
      </c>
      <c r="E7" t="inlineStr">
        <is>
          <t>CRM-SOUTH-1</t>
        </is>
      </c>
    </row>
    <row r="8">
      <c r="A8" t="inlineStr">
        <is>
          <t>C007</t>
        </is>
      </c>
      <c r="B8" t="inlineStr">
        <is>
          <t>Delta Industrial</t>
        </is>
      </c>
      <c r="C8" t="inlineStr">
        <is>
          <t>South</t>
        </is>
      </c>
      <c r="D8" t="inlineStr">
        <is>
          <t>Wholesale</t>
        </is>
      </c>
      <c r="E8" t="inlineStr">
        <is>
          <t>CRM-SOUTH-2</t>
        </is>
      </c>
    </row>
    <row r="9">
      <c r="A9" t="inlineStr">
        <is>
          <t>C008</t>
        </is>
      </c>
      <c r="B9" t="inlineStr">
        <is>
          <t>Maple Home</t>
        </is>
      </c>
      <c r="C9" t="inlineStr">
        <is>
          <t>East</t>
        </is>
      </c>
      <c r="D9" t="inlineStr">
        <is>
          <t>Retail</t>
        </is>
      </c>
      <c r="E9" t="inlineStr">
        <is>
          <t>CRM-EAST-2</t>
        </is>
      </c>
    </row>
    <row r="10">
      <c r="A10" t="inlineStr">
        <is>
          <t>C009</t>
        </is>
      </c>
      <c r="B10" t="inlineStr">
        <is>
          <t>Evergreen Markets</t>
        </is>
      </c>
      <c r="C10" t="inlineStr">
        <is>
          <t>West</t>
        </is>
      </c>
      <c r="D10" t="inlineStr">
        <is>
          <t>Retail</t>
        </is>
      </c>
      <c r="E10" t="inlineStr">
        <is>
          <t>CRM-WEST-2</t>
        </is>
      </c>
    </row>
    <row r="11">
      <c r="A11" t="inlineStr">
        <is>
          <t>C010</t>
        </is>
      </c>
      <c r="B11" t="inlineStr">
        <is>
          <t>Pioneer Commerce</t>
        </is>
      </c>
      <c r="C11" t="inlineStr">
        <is>
          <t>Central</t>
        </is>
      </c>
      <c r="D11" t="inlineStr">
        <is>
          <t>Wholesale</t>
        </is>
      </c>
      <c r="E11" t="inlineStr">
        <is>
          <t>CRM-CENTRAL-2</t>
        </is>
      </c>
    </row>
    <row r="12">
      <c r="A12" t="inlineStr">
        <is>
          <t>C011</t>
        </is>
      </c>
      <c r="B12" t="inlineStr">
        <is>
          <t>Lakeside Outfit</t>
        </is>
      </c>
      <c r="C12" t="inlineStr">
        <is>
          <t>North</t>
        </is>
      </c>
      <c r="D12" t="inlineStr">
        <is>
          <t>Retail</t>
        </is>
      </c>
      <c r="E12" t="inlineStr">
        <is>
          <t>CRM-NORTH-1</t>
        </is>
      </c>
    </row>
    <row r="13">
      <c r="A13" t="inlineStr">
        <is>
          <t>C012</t>
        </is>
      </c>
      <c r="B13" t="inlineStr">
        <is>
          <t>Harbor Supply Co</t>
        </is>
      </c>
      <c r="C13" t="inlineStr">
        <is>
          <t>South</t>
        </is>
      </c>
      <c r="D13" t="inlineStr">
        <is>
          <t>Enterprise</t>
        </is>
      </c>
      <c r="E13" t="inlineStr">
        <is>
          <t>CRM-SOUTH-3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list_price</t>
        </is>
      </c>
      <c r="E1" s="1" t="inlineStr">
        <is>
          <t>legacy_sku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Accessories</t>
        </is>
      </c>
      <c r="D2" t="inlineStr">
        <is>
          <t>24.00</t>
        </is>
      </c>
      <c r="E2" t="inlineStr">
        <is>
          <t>LEG-AC-01</t>
        </is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Accessories</t>
        </is>
      </c>
      <c r="D3" t="inlineStr">
        <is>
          <t>79.00</t>
        </is>
      </c>
      <c r="E3" t="inlineStr">
        <is>
          <t>LEG-AC-02</t>
        </is>
      </c>
    </row>
    <row r="4">
      <c r="A4" t="inlineStr">
        <is>
          <t>P003</t>
        </is>
      </c>
      <c r="B4" t="inlineStr">
        <is>
          <t>USB-C Dock</t>
        </is>
      </c>
      <c r="C4" t="inlineStr">
        <is>
          <t>Peripherals</t>
        </is>
      </c>
      <c r="D4" t="inlineStr">
        <is>
          <t>129.00</t>
        </is>
      </c>
      <c r="E4" t="inlineStr">
        <is>
          <t>LEG-PR-01</t>
        </is>
      </c>
    </row>
    <row r="5">
      <c r="A5" t="inlineStr">
        <is>
          <t>P004</t>
        </is>
      </c>
      <c r="B5" t="inlineStr">
        <is>
          <t>27in Monitor</t>
        </is>
      </c>
      <c r="C5" t="inlineStr">
        <is>
          <t>Displays</t>
        </is>
      </c>
      <c r="D5" t="inlineStr">
        <is>
          <t>269.00</t>
        </is>
      </c>
      <c r="E5" t="inlineStr">
        <is>
          <t>LEG-DP-01</t>
        </is>
      </c>
    </row>
    <row r="6">
      <c r="A6" t="inlineStr">
        <is>
          <t>P005</t>
        </is>
      </c>
      <c r="B6" t="inlineStr">
        <is>
          <t>Noise Cancelling Headset</t>
        </is>
      </c>
      <c r="C6" t="inlineStr">
        <is>
          <t>Audio</t>
        </is>
      </c>
      <c r="D6" t="inlineStr">
        <is>
          <t>149.00</t>
        </is>
      </c>
      <c r="E6" t="inlineStr">
        <is>
          <t>LEG-AU-01</t>
        </is>
      </c>
    </row>
    <row r="7">
      <c r="A7" t="inlineStr">
        <is>
          <t>P006</t>
        </is>
      </c>
      <c r="B7" t="inlineStr">
        <is>
          <t>Portable SSD 1TB</t>
        </is>
      </c>
      <c r="C7" t="inlineStr">
        <is>
          <t>Storage</t>
        </is>
      </c>
      <c r="D7" t="inlineStr">
        <is>
          <t>139.00</t>
        </is>
      </c>
      <c r="E7" t="inlineStr">
        <is>
          <t>LEG-PR-01</t>
        </is>
      </c>
    </row>
    <row r="8">
      <c r="A8" t="inlineStr">
        <is>
          <t>P007</t>
        </is>
      </c>
      <c r="B8" t="inlineStr">
        <is>
          <t>Webcam 4K</t>
        </is>
      </c>
      <c r="C8" t="inlineStr">
        <is>
          <t>Peripherals</t>
        </is>
      </c>
      <c r="D8" t="inlineStr">
        <is>
          <t>99.00</t>
        </is>
      </c>
      <c r="E8" t="inlineStr">
        <is>
          <t>LEG-PR-03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source_order_ref</t>
        </is>
      </c>
      <c r="C1" s="1" t="inlineStr">
        <is>
          <t>order_date</t>
        </is>
      </c>
      <c r="D1" s="1" t="inlineStr">
        <is>
          <t>customer_id</t>
        </is>
      </c>
      <c r="E1" s="1" t="inlineStr">
        <is>
          <t>product_id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discount_pct</t>
        </is>
      </c>
      <c r="I1" s="1" t="inlineStr">
        <is>
          <t>sales_rep</t>
        </is>
      </c>
      <c r="J1" s="1" t="inlineStr">
        <is>
          <t>order_status</t>
        </is>
      </c>
      <c r="K1" s="1" t="inlineStr">
        <is>
          <t>crm_lookup_code_used</t>
        </is>
      </c>
    </row>
    <row r="2">
      <c r="A2" t="inlineStr">
        <is>
          <t>O001</t>
        </is>
      </c>
      <c r="B2" t="inlineStr">
        <is>
          <t>WEB-1001</t>
        </is>
      </c>
      <c r="C2" t="inlineStr">
        <is>
          <t>2026-01-07</t>
        </is>
      </c>
      <c r="D2" t="inlineStr">
        <is>
          <t>C002</t>
        </is>
      </c>
      <c r="E2" t="inlineStr">
        <is>
          <t>P003</t>
        </is>
      </c>
      <c r="F2" t="inlineStr">
        <is>
          <t>2</t>
        </is>
      </c>
      <c r="G2" t="inlineStr">
        <is>
          <t>122.55</t>
        </is>
      </c>
      <c r="H2" t="inlineStr">
        <is>
          <t>5</t>
        </is>
      </c>
      <c r="I2" t="inlineStr">
        <is>
          <t>Jordan Lee</t>
        </is>
      </c>
      <c r="J2" t="inlineStr">
        <is>
          <t>Completed</t>
        </is>
      </c>
      <c r="K2" t="inlineStr">
        <is>
          <t>CRM-WEST-1</t>
        </is>
      </c>
    </row>
    <row r="3">
      <c r="A3" t="inlineStr">
        <is>
          <t>O002</t>
        </is>
      </c>
      <c r="B3" t="inlineStr">
        <is>
          <t>WEB-1002</t>
        </is>
      </c>
      <c r="C3" t="inlineStr">
        <is>
          <t>2026-01-11</t>
        </is>
      </c>
      <c r="D3" t="inlineStr">
        <is>
          <t>C003</t>
        </is>
      </c>
      <c r="E3" t="inlineStr">
        <is>
          <t>P005</t>
        </is>
      </c>
      <c r="F3" t="inlineStr">
        <is>
          <t>3</t>
        </is>
      </c>
      <c r="G3" t="inlineStr">
        <is>
          <t>146.02</t>
        </is>
      </c>
      <c r="H3" t="inlineStr">
        <is>
          <t>10</t>
        </is>
      </c>
      <c r="I3" t="inlineStr">
        <is>
          <t>Morgan Patel</t>
        </is>
      </c>
      <c r="J3" t="inlineStr">
        <is>
          <t>Completed</t>
        </is>
      </c>
      <c r="K3" t="inlineStr">
        <is>
          <t>CRM-EAST-1</t>
        </is>
      </c>
    </row>
    <row r="4">
      <c r="A4" t="inlineStr">
        <is>
          <t>O003</t>
        </is>
      </c>
      <c r="B4" t="inlineStr">
        <is>
          <t>WEB-1003</t>
        </is>
      </c>
      <c r="C4" t="inlineStr">
        <is>
          <t>2026-01-15</t>
        </is>
      </c>
      <c r="D4" t="inlineStr">
        <is>
          <t>C004</t>
        </is>
      </c>
      <c r="E4" t="inlineStr">
        <is>
          <t>P007</t>
        </is>
      </c>
      <c r="F4" t="inlineStr">
        <is>
          <t>4</t>
        </is>
      </c>
      <c r="G4" t="inlineStr">
        <is>
          <t>99.99</t>
        </is>
      </c>
      <c r="H4" t="inlineStr">
        <is>
          <t>15</t>
        </is>
      </c>
      <c r="I4" t="inlineStr">
        <is>
          <t>Riley Chen</t>
        </is>
      </c>
      <c r="J4" t="inlineStr">
        <is>
          <t>Pending</t>
        </is>
      </c>
      <c r="K4" t="inlineStr">
        <is>
          <t>CRM-CENTRAL-1</t>
        </is>
      </c>
    </row>
    <row r="5">
      <c r="A5" t="inlineStr">
        <is>
          <t>O004</t>
        </is>
      </c>
      <c r="B5" t="inlineStr">
        <is>
          <t>WEB-1004</t>
        </is>
      </c>
      <c r="C5" t="inlineStr">
        <is>
          <t>2026-01-19</t>
        </is>
      </c>
      <c r="D5" t="inlineStr">
        <is>
          <t>C005</t>
        </is>
      </c>
      <c r="E5" t="inlineStr">
        <is>
          <t>P002</t>
        </is>
      </c>
      <c r="F5" t="inlineStr">
        <is>
          <t>5</t>
        </is>
      </c>
      <c r="G5" t="inlineStr">
        <is>
          <t>72.68</t>
        </is>
      </c>
      <c r="H5" t="inlineStr">
        <is>
          <t>0</t>
        </is>
      </c>
      <c r="I5" t="inlineStr">
        <is>
          <t>Casey Brooks</t>
        </is>
      </c>
      <c r="J5" t="inlineStr">
        <is>
          <t>Cancelled</t>
        </is>
      </c>
      <c r="K5" t="inlineStr">
        <is>
          <t>CRM-NORTH-2</t>
        </is>
      </c>
    </row>
    <row r="6">
      <c r="A6" t="inlineStr">
        <is>
          <t>O005</t>
        </is>
      </c>
      <c r="B6" t="inlineStr">
        <is>
          <t>WEB-1005</t>
        </is>
      </c>
      <c r="C6" t="inlineStr">
        <is>
          <t>2026-01-23</t>
        </is>
      </c>
      <c r="D6" t="inlineStr">
        <is>
          <t>C006</t>
        </is>
      </c>
      <c r="E6" t="inlineStr">
        <is>
          <t>P004</t>
        </is>
      </c>
      <c r="F6" t="inlineStr">
        <is>
          <t>1</t>
        </is>
      </c>
      <c r="G6" t="inlineStr">
        <is>
          <t>255.55</t>
        </is>
      </c>
      <c r="H6" t="inlineStr">
        <is>
          <t>5</t>
        </is>
      </c>
      <c r="I6" t="inlineStr">
        <is>
          <t>Alex Kim</t>
        </is>
      </c>
      <c r="J6" t="inlineStr">
        <is>
          <t>Completed</t>
        </is>
      </c>
      <c r="K6" t="inlineStr">
        <is>
          <t>CRM-SOUTH-1</t>
        </is>
      </c>
    </row>
    <row r="7">
      <c r="A7" t="inlineStr">
        <is>
          <t>O006</t>
        </is>
      </c>
      <c r="B7" t="inlineStr">
        <is>
          <t>WEB-1006</t>
        </is>
      </c>
      <c r="C7" t="inlineStr">
        <is>
          <t>2026-01-27</t>
        </is>
      </c>
      <c r="D7" t="inlineStr">
        <is>
          <t>C007</t>
        </is>
      </c>
      <c r="E7" t="inlineStr">
        <is>
          <t>P006</t>
        </is>
      </c>
      <c r="F7" t="inlineStr">
        <is>
          <t>2</t>
        </is>
      </c>
      <c r="G7" t="inlineStr">
        <is>
          <t>136.22</t>
        </is>
      </c>
      <c r="H7" t="inlineStr">
        <is>
          <t>10</t>
        </is>
      </c>
      <c r="I7" t="inlineStr">
        <is>
          <t>Jordan Lee</t>
        </is>
      </c>
      <c r="J7" t="inlineStr">
        <is>
          <t>Completed</t>
        </is>
      </c>
      <c r="K7" t="inlineStr">
        <is>
          <t>CRM-SOUTH-2</t>
        </is>
      </c>
    </row>
    <row r="8">
      <c r="A8" t="inlineStr">
        <is>
          <t>O007</t>
        </is>
      </c>
      <c r="B8" t="inlineStr">
        <is>
          <t>WEB-1007</t>
        </is>
      </c>
      <c r="C8" t="inlineStr">
        <is>
          <t>2026-01-31</t>
        </is>
      </c>
      <c r="D8" t="inlineStr">
        <is>
          <t>C008</t>
        </is>
      </c>
      <c r="E8" t="inlineStr">
        <is>
          <t>P001</t>
        </is>
      </c>
      <c r="F8" t="inlineStr">
        <is>
          <t>3</t>
        </is>
      </c>
      <c r="G8" t="inlineStr">
        <is>
          <t>24.24</t>
        </is>
      </c>
      <c r="H8" t="inlineStr">
        <is>
          <t>15</t>
        </is>
      </c>
      <c r="I8" t="inlineStr">
        <is>
          <t>Morgan Patel</t>
        </is>
      </c>
      <c r="J8" t="inlineStr">
        <is>
          <t>Completed</t>
        </is>
      </c>
      <c r="K8" t="inlineStr">
        <is>
          <t>CRM-EAST-2</t>
        </is>
      </c>
    </row>
    <row r="9">
      <c r="A9" t="inlineStr">
        <is>
          <t>O008</t>
        </is>
      </c>
      <c r="B9" t="inlineStr">
        <is>
          <t>WEB-1008</t>
        </is>
      </c>
      <c r="C9" t="inlineStr">
        <is>
          <t>2026-02-04</t>
        </is>
      </c>
      <c r="D9" t="inlineStr">
        <is>
          <t>C009</t>
        </is>
      </c>
      <c r="E9" t="inlineStr">
        <is>
          <t>P003</t>
        </is>
      </c>
      <c r="F9" t="inlineStr">
        <is>
          <t>4</t>
        </is>
      </c>
      <c r="G9" t="inlineStr">
        <is>
          <t>118.68</t>
        </is>
      </c>
      <c r="H9" t="inlineStr">
        <is>
          <t>0</t>
        </is>
      </c>
      <c r="I9" t="inlineStr">
        <is>
          <t>Riley Chen</t>
        </is>
      </c>
      <c r="J9" t="inlineStr">
        <is>
          <t>Pending</t>
        </is>
      </c>
      <c r="K9" t="inlineStr">
        <is>
          <t>CRM-WEST-2</t>
        </is>
      </c>
    </row>
    <row r="10">
      <c r="A10" t="inlineStr">
        <is>
          <t>O009</t>
        </is>
      </c>
      <c r="B10" t="inlineStr">
        <is>
          <t>WEB-1009</t>
        </is>
      </c>
      <c r="C10" t="inlineStr">
        <is>
          <t>2026-02-08</t>
        </is>
      </c>
      <c r="D10" t="inlineStr">
        <is>
          <t>C010</t>
        </is>
      </c>
      <c r="E10" t="inlineStr">
        <is>
          <t>P005</t>
        </is>
      </c>
      <c r="F10" t="inlineStr">
        <is>
          <t>5</t>
        </is>
      </c>
      <c r="G10" t="inlineStr">
        <is>
          <t>141.55</t>
        </is>
      </c>
      <c r="H10" t="inlineStr">
        <is>
          <t>5</t>
        </is>
      </c>
      <c r="I10" t="inlineStr">
        <is>
          <t>Casey Brooks</t>
        </is>
      </c>
      <c r="J10" t="inlineStr">
        <is>
          <t>Cancelled</t>
        </is>
      </c>
      <c r="K10" t="inlineStr">
        <is>
          <t>CRM-CENTRAL-2</t>
        </is>
      </c>
    </row>
    <row r="11">
      <c r="A11" t="inlineStr">
        <is>
          <t>O010</t>
        </is>
      </c>
      <c r="B11" t="inlineStr">
        <is>
          <t>WEB-1010</t>
        </is>
      </c>
      <c r="C11" t="inlineStr">
        <is>
          <t>2026-02-12</t>
        </is>
      </c>
      <c r="D11" t="inlineStr">
        <is>
          <t>C011</t>
        </is>
      </c>
      <c r="E11" t="inlineStr">
        <is>
          <t>P007</t>
        </is>
      </c>
      <c r="F11" t="inlineStr">
        <is>
          <t>1</t>
        </is>
      </c>
      <c r="G11" t="inlineStr">
        <is>
          <t>97.02</t>
        </is>
      </c>
      <c r="H11" t="inlineStr">
        <is>
          <t>10</t>
        </is>
      </c>
      <c r="I11" t="inlineStr">
        <is>
          <t>Alex Kim</t>
        </is>
      </c>
      <c r="J11" t="inlineStr">
        <is>
          <t>Completed</t>
        </is>
      </c>
      <c r="K11" t="inlineStr">
        <is>
          <t>CRM-NORTH-1</t>
        </is>
      </c>
    </row>
    <row r="12">
      <c r="A12" t="inlineStr">
        <is>
          <t>O011</t>
        </is>
      </c>
      <c r="B12" t="inlineStr">
        <is>
          <t>WEB-1011</t>
        </is>
      </c>
      <c r="C12" t="inlineStr">
        <is>
          <t>2026-02-16</t>
        </is>
      </c>
      <c r="D12" t="inlineStr">
        <is>
          <t>C012</t>
        </is>
      </c>
      <c r="E12" t="inlineStr">
        <is>
          <t>P002</t>
        </is>
      </c>
      <c r="F12" t="inlineStr">
        <is>
          <t>2</t>
        </is>
      </c>
      <c r="G12" t="inlineStr">
        <is>
          <t>79.79</t>
        </is>
      </c>
      <c r="H12" t="inlineStr"/>
      <c r="I12" t="inlineStr">
        <is>
          <t>Jordan Lee</t>
        </is>
      </c>
      <c r="J12" t="inlineStr">
        <is>
          <t>Completed</t>
        </is>
      </c>
      <c r="K12" t="inlineStr">
        <is>
          <t>CRM-SOUTH-3</t>
        </is>
      </c>
    </row>
    <row r="13">
      <c r="A13" t="inlineStr">
        <is>
          <t>O012</t>
        </is>
      </c>
      <c r="B13" t="inlineStr">
        <is>
          <t>WEB-1012</t>
        </is>
      </c>
      <c r="C13" t="inlineStr">
        <is>
          <t>2026-02-20</t>
        </is>
      </c>
      <c r="D13" t="inlineStr">
        <is>
          <t>C001</t>
        </is>
      </c>
      <c r="E13" t="inlineStr">
        <is>
          <t>P004</t>
        </is>
      </c>
      <c r="F13" t="inlineStr">
        <is>
          <t>3</t>
        </is>
      </c>
      <c r="G13" t="inlineStr">
        <is>
          <t>247.48</t>
        </is>
      </c>
      <c r="H13" t="inlineStr">
        <is>
          <t>0</t>
        </is>
      </c>
      <c r="I13" t="inlineStr">
        <is>
          <t>Morgan Patel</t>
        </is>
      </c>
      <c r="J13" t="inlineStr">
        <is>
          <t>Completed</t>
        </is>
      </c>
      <c r="K13" t="inlineStr">
        <is>
          <t>CRM-NORTH-1</t>
        </is>
      </c>
    </row>
    <row r="14">
      <c r="A14" t="inlineStr">
        <is>
          <t>O013</t>
        </is>
      </c>
      <c r="B14" t="inlineStr">
        <is>
          <t>WEB-1013</t>
        </is>
      </c>
      <c r="C14" t="inlineStr">
        <is>
          <t>2026-02-24</t>
        </is>
      </c>
      <c r="D14" t="inlineStr">
        <is>
          <t>C002</t>
        </is>
      </c>
      <c r="E14" t="inlineStr">
        <is>
          <t>P006</t>
        </is>
      </c>
      <c r="F14" t="inlineStr">
        <is>
          <t>4</t>
        </is>
      </c>
      <c r="G14" t="inlineStr">
        <is>
          <t>132.05</t>
        </is>
      </c>
      <c r="H14" t="inlineStr">
        <is>
          <t>5</t>
        </is>
      </c>
      <c r="I14" t="inlineStr"/>
      <c r="J14" t="inlineStr">
        <is>
          <t>Pending</t>
        </is>
      </c>
      <c r="K14" t="inlineStr">
        <is>
          <t>CRM-WEST-1</t>
        </is>
      </c>
    </row>
    <row r="15">
      <c r="A15" t="inlineStr">
        <is>
          <t>O014</t>
        </is>
      </c>
      <c r="B15" t="inlineStr">
        <is>
          <t>WEB-1014</t>
        </is>
      </c>
      <c r="C15" t="inlineStr">
        <is>
          <t>2026-02-28</t>
        </is>
      </c>
      <c r="D15" t="inlineStr">
        <is>
          <t>C003</t>
        </is>
      </c>
      <c r="E15" t="inlineStr">
        <is>
          <t>P001</t>
        </is>
      </c>
      <c r="F15" t="inlineStr">
        <is>
          <t>5</t>
        </is>
      </c>
      <c r="G15" t="inlineStr">
        <is>
          <t>23.52</t>
        </is>
      </c>
      <c r="H15" t="inlineStr">
        <is>
          <t>10</t>
        </is>
      </c>
      <c r="I15" t="inlineStr">
        <is>
          <t>Casey Brooks</t>
        </is>
      </c>
      <c r="J15" t="inlineStr">
        <is>
          <t>Cancelled</t>
        </is>
      </c>
      <c r="K15" t="inlineStr">
        <is>
          <t>CRM-NORTH-1</t>
        </is>
      </c>
    </row>
    <row r="16">
      <c r="A16" t="inlineStr">
        <is>
          <t>O015</t>
        </is>
      </c>
      <c r="B16" t="inlineStr">
        <is>
          <t>WEB-1015</t>
        </is>
      </c>
      <c r="C16" t="inlineStr">
        <is>
          <t>2026-03-04</t>
        </is>
      </c>
      <c r="D16" t="inlineStr">
        <is>
          <t>C004</t>
        </is>
      </c>
      <c r="E16" t="inlineStr">
        <is>
          <t>P003</t>
        </is>
      </c>
      <c r="F16" t="inlineStr">
        <is>
          <t>1</t>
        </is>
      </c>
      <c r="G16" t="inlineStr">
        <is>
          <t>130.29</t>
        </is>
      </c>
      <c r="H16" t="inlineStr">
        <is>
          <t>15</t>
        </is>
      </c>
      <c r="I16" t="inlineStr">
        <is>
          <t>Alex Kim</t>
        </is>
      </c>
      <c r="J16" t="inlineStr">
        <is>
          <t>Completed</t>
        </is>
      </c>
      <c r="K16" t="inlineStr">
        <is>
          <t>CRM-CENTRAL-1</t>
        </is>
      </c>
    </row>
    <row r="17">
      <c r="A17" t="inlineStr">
        <is>
          <t>O016</t>
        </is>
      </c>
      <c r="B17" t="inlineStr">
        <is>
          <t>WEB-1016</t>
        </is>
      </c>
      <c r="C17" t="inlineStr">
        <is>
          <t>2026-03-08</t>
        </is>
      </c>
      <c r="D17" t="inlineStr">
        <is>
          <t>C005</t>
        </is>
      </c>
      <c r="E17" t="inlineStr">
        <is>
          <t>P005</t>
        </is>
      </c>
      <c r="F17" t="inlineStr">
        <is>
          <t>2</t>
        </is>
      </c>
      <c r="G17" t="inlineStr">
        <is>
          <t>137.08</t>
        </is>
      </c>
      <c r="H17" t="inlineStr">
        <is>
          <t>0</t>
        </is>
      </c>
      <c r="I17" t="inlineStr">
        <is>
          <t>Jordan Lee</t>
        </is>
      </c>
      <c r="J17" t="inlineStr">
        <is>
          <t>Completed</t>
        </is>
      </c>
      <c r="K17" t="inlineStr">
        <is>
          <t>CRM-NORTH-2</t>
        </is>
      </c>
    </row>
    <row r="18">
      <c r="A18" t="inlineStr">
        <is>
          <t>O017</t>
        </is>
      </c>
      <c r="B18" t="inlineStr">
        <is>
          <t>WEB-1017</t>
        </is>
      </c>
      <c r="C18" t="inlineStr">
        <is>
          <t>2026-03-12</t>
        </is>
      </c>
      <c r="D18" t="inlineStr">
        <is>
          <t>C006</t>
        </is>
      </c>
      <c r="E18" t="inlineStr">
        <is>
          <t>P007</t>
        </is>
      </c>
      <c r="F18" t="inlineStr">
        <is>
          <t>3</t>
        </is>
      </c>
      <c r="G18" t="inlineStr">
        <is>
          <t>94.05</t>
        </is>
      </c>
      <c r="H18" t="inlineStr">
        <is>
          <t>5</t>
        </is>
      </c>
      <c r="I18" t="inlineStr">
        <is>
          <t>Morgan Patel</t>
        </is>
      </c>
      <c r="J18" t="inlineStr">
        <is>
          <t>Completed</t>
        </is>
      </c>
      <c r="K18" t="inlineStr">
        <is>
          <t>CRM-SOUTH-1</t>
        </is>
      </c>
    </row>
    <row r="19">
      <c r="A19" t="inlineStr">
        <is>
          <t>O018</t>
        </is>
      </c>
      <c r="B19" t="inlineStr">
        <is>
          <t>WEB-1017</t>
        </is>
      </c>
      <c r="C19" t="inlineStr">
        <is>
          <t>2026-03-16</t>
        </is>
      </c>
      <c r="D19" t="inlineStr">
        <is>
          <t>C007</t>
        </is>
      </c>
      <c r="E19" t="inlineStr">
        <is>
          <t>P002</t>
        </is>
      </c>
      <c r="F19" t="inlineStr">
        <is>
          <t>4</t>
        </is>
      </c>
      <c r="G19" t="inlineStr">
        <is>
          <t>77.42</t>
        </is>
      </c>
      <c r="H19" t="inlineStr">
        <is>
          <t>10</t>
        </is>
      </c>
      <c r="I19" t="inlineStr">
        <is>
          <t>Riley Chen</t>
        </is>
      </c>
      <c r="J19" t="inlineStr">
        <is>
          <t>Pending</t>
        </is>
      </c>
      <c r="K19" t="inlineStr">
        <is>
          <t>CRM-SOUTH-2</t>
        </is>
      </c>
    </row>
    <row r="20">
      <c r="A20" t="inlineStr">
        <is>
          <t>O019</t>
        </is>
      </c>
      <c r="B20" t="inlineStr">
        <is>
          <t>WEB-1019</t>
        </is>
      </c>
      <c r="C20" t="inlineStr">
        <is>
          <t>2026-03-20</t>
        </is>
      </c>
      <c r="D20" t="inlineStr">
        <is>
          <t>C008</t>
        </is>
      </c>
      <c r="E20" t="inlineStr">
        <is>
          <t>P004</t>
        </is>
      </c>
      <c r="F20" t="inlineStr">
        <is>
          <t>5</t>
        </is>
      </c>
      <c r="G20" t="inlineStr">
        <is>
          <t>271.69</t>
        </is>
      </c>
      <c r="H20" t="inlineStr">
        <is>
          <t>15</t>
        </is>
      </c>
      <c r="I20" t="inlineStr">
        <is>
          <t>Casey Brooks</t>
        </is>
      </c>
      <c r="J20" t="inlineStr">
        <is>
          <t>Cancelled</t>
        </is>
      </c>
      <c r="K20" t="inlineStr">
        <is>
          <t>CRM-EAST-2</t>
        </is>
      </c>
    </row>
    <row r="21">
      <c r="A21" t="inlineStr">
        <is>
          <t>O020</t>
        </is>
      </c>
      <c r="B21" t="inlineStr">
        <is>
          <t>WEB-1020</t>
        </is>
      </c>
      <c r="C21" t="inlineStr">
        <is>
          <t>2026-03-24</t>
        </is>
      </c>
      <c r="D21" t="inlineStr">
        <is>
          <t>C009</t>
        </is>
      </c>
      <c r="E21" t="inlineStr">
        <is>
          <t>P006</t>
        </is>
      </c>
      <c r="F21" t="inlineStr">
        <is>
          <t>1</t>
        </is>
      </c>
      <c r="G21" t="inlineStr">
        <is>
          <t>127.88</t>
        </is>
      </c>
      <c r="H21" t="inlineStr">
        <is>
          <t>0</t>
        </is>
      </c>
      <c r="I21" t="inlineStr">
        <is>
          <t>Alex Kim</t>
        </is>
      </c>
      <c r="J21" t="inlineStr">
        <is>
          <t>Completed</t>
        </is>
      </c>
      <c r="K21" t="inlineStr">
        <is>
          <t>CRM-WEST-2</t>
        </is>
      </c>
    </row>
    <row r="22">
      <c r="A22" t="inlineStr">
        <is>
          <t>O021</t>
        </is>
      </c>
      <c r="B22" t="inlineStr">
        <is>
          <t>WEB-1021</t>
        </is>
      </c>
      <c r="C22" t="inlineStr">
        <is>
          <t>2026-03-28</t>
        </is>
      </c>
      <c r="D22" t="inlineStr">
        <is>
          <t>C010</t>
        </is>
      </c>
      <c r="E22" t="inlineStr">
        <is>
          <t>P001</t>
        </is>
      </c>
      <c r="F22" t="inlineStr">
        <is>
          <t>2</t>
        </is>
      </c>
      <c r="G22" t="inlineStr">
        <is>
          <t>22.80</t>
        </is>
      </c>
      <c r="H22" t="inlineStr">
        <is>
          <t>5</t>
        </is>
      </c>
      <c r="I22" t="inlineStr">
        <is>
          <t>Jordan Lee</t>
        </is>
      </c>
      <c r="J22" t="inlineStr">
        <is>
          <t>Completed</t>
        </is>
      </c>
      <c r="K22" t="inlineStr">
        <is>
          <t>CRM-CENTRAL-2</t>
        </is>
      </c>
    </row>
    <row r="23">
      <c r="A23" t="inlineStr">
        <is>
          <t>O022</t>
        </is>
      </c>
      <c r="B23" t="inlineStr">
        <is>
          <t>WEB-1022</t>
        </is>
      </c>
      <c r="C23" t="inlineStr">
        <is>
          <t>2026-04-01</t>
        </is>
      </c>
      <c r="D23" t="inlineStr">
        <is>
          <t>C011</t>
        </is>
      </c>
      <c r="E23" t="inlineStr">
        <is>
          <t>P003</t>
        </is>
      </c>
      <c r="F23" t="inlineStr">
        <is>
          <t>3</t>
        </is>
      </c>
      <c r="G23" t="inlineStr">
        <is>
          <t>126.42</t>
        </is>
      </c>
      <c r="H23" t="inlineStr"/>
      <c r="I23" t="inlineStr">
        <is>
          <t>Morgan Patel</t>
        </is>
      </c>
      <c r="J23" t="inlineStr">
        <is>
          <t>Completed</t>
        </is>
      </c>
      <c r="K23" t="inlineStr">
        <is>
          <t>CRM-NORTH-1</t>
        </is>
      </c>
    </row>
    <row r="24">
      <c r="A24" t="inlineStr">
        <is>
          <t>O023</t>
        </is>
      </c>
      <c r="B24" t="inlineStr">
        <is>
          <t>WEB-1023</t>
        </is>
      </c>
      <c r="C24" t="inlineStr">
        <is>
          <t>2026-04-05</t>
        </is>
      </c>
      <c r="D24" t="inlineStr">
        <is>
          <t>C012</t>
        </is>
      </c>
      <c r="E24" t="inlineStr">
        <is>
          <t>P005</t>
        </is>
      </c>
      <c r="F24" t="inlineStr">
        <is>
          <t>4</t>
        </is>
      </c>
      <c r="G24" t="inlineStr">
        <is>
          <t>150.49</t>
        </is>
      </c>
      <c r="H24" t="inlineStr">
        <is>
          <t>15</t>
        </is>
      </c>
      <c r="I24" t="inlineStr">
        <is>
          <t>Riley Chen</t>
        </is>
      </c>
      <c r="J24" t="inlineStr">
        <is>
          <t>Pending</t>
        </is>
      </c>
      <c r="K24" t="inlineStr">
        <is>
          <t>CRM-SOUTH-3</t>
        </is>
      </c>
    </row>
    <row r="25">
      <c r="A25" t="inlineStr">
        <is>
          <t>O024</t>
        </is>
      </c>
      <c r="B25" t="inlineStr">
        <is>
          <t>WEB-1024</t>
        </is>
      </c>
      <c r="C25" t="inlineStr">
        <is>
          <t>2026-04-09</t>
        </is>
      </c>
      <c r="D25" t="inlineStr">
        <is>
          <t>C001</t>
        </is>
      </c>
      <c r="E25" t="inlineStr">
        <is>
          <t>P007</t>
        </is>
      </c>
      <c r="F25" t="inlineStr">
        <is>
          <t>5</t>
        </is>
      </c>
      <c r="G25" t="inlineStr">
        <is>
          <t>91.08</t>
        </is>
      </c>
      <c r="H25" t="inlineStr">
        <is>
          <t>0</t>
        </is>
      </c>
      <c r="I25" t="inlineStr">
        <is>
          <t>Casey Brooks</t>
        </is>
      </c>
      <c r="J25" t="inlineStr">
        <is>
          <t>Cancelled</t>
        </is>
      </c>
      <c r="K25" t="inlineStr">
        <is>
          <t>CRM-NORTH-1</t>
        </is>
      </c>
    </row>
    <row r="26">
      <c r="A26" t="inlineStr">
        <is>
          <t>O025</t>
        </is>
      </c>
      <c r="B26" t="inlineStr">
        <is>
          <t>WEB-1025</t>
        </is>
      </c>
      <c r="C26" t="inlineStr">
        <is>
          <t>2026-04-13</t>
        </is>
      </c>
      <c r="D26" t="inlineStr">
        <is>
          <t>C002</t>
        </is>
      </c>
      <c r="E26" t="inlineStr">
        <is>
          <t>P002</t>
        </is>
      </c>
      <c r="F26" t="inlineStr">
        <is>
          <t>1</t>
        </is>
      </c>
      <c r="G26" t="inlineStr">
        <is>
          <t>75.05</t>
        </is>
      </c>
      <c r="H26" t="inlineStr">
        <is>
          <t>5</t>
        </is>
      </c>
      <c r="I26" t="inlineStr">
        <is>
          <t>Alex Kim</t>
        </is>
      </c>
      <c r="J26" t="inlineStr">
        <is>
          <t>Completed</t>
        </is>
      </c>
      <c r="K26" t="inlineStr">
        <is>
          <t>CRM-WEST-1</t>
        </is>
      </c>
    </row>
    <row r="27">
      <c r="A27" t="inlineStr">
        <is>
          <t>O026</t>
        </is>
      </c>
      <c r="B27" t="inlineStr">
        <is>
          <t>WEB-1026</t>
        </is>
      </c>
      <c r="C27" t="inlineStr">
        <is>
          <t>2026-04-17</t>
        </is>
      </c>
      <c r="D27" t="inlineStr">
        <is>
          <t>C003</t>
        </is>
      </c>
      <c r="E27" t="inlineStr">
        <is>
          <t>P004</t>
        </is>
      </c>
      <c r="F27" t="inlineStr">
        <is>
          <t>2</t>
        </is>
      </c>
      <c r="G27" t="inlineStr">
        <is>
          <t>263.62</t>
        </is>
      </c>
      <c r="H27" t="inlineStr">
        <is>
          <t>10</t>
        </is>
      </c>
      <c r="I27" t="inlineStr"/>
      <c r="J27" t="inlineStr">
        <is>
          <t>Completed</t>
        </is>
      </c>
      <c r="K27" t="inlineStr">
        <is>
          <t>CRM-EAST-1</t>
        </is>
      </c>
    </row>
    <row r="28">
      <c r="A28" t="inlineStr">
        <is>
          <t>O027</t>
        </is>
      </c>
      <c r="B28" t="inlineStr">
        <is>
          <t>WEB-1027</t>
        </is>
      </c>
      <c r="C28" t="inlineStr">
        <is>
          <t>2026-04-21</t>
        </is>
      </c>
      <c r="D28" t="inlineStr">
        <is>
          <t>C004</t>
        </is>
      </c>
      <c r="E28" t="inlineStr">
        <is>
          <t>P006</t>
        </is>
      </c>
      <c r="F28" t="inlineStr">
        <is>
          <t>3</t>
        </is>
      </c>
      <c r="G28" t="inlineStr">
        <is>
          <t>140.39</t>
        </is>
      </c>
      <c r="H28" t="inlineStr">
        <is>
          <t>15</t>
        </is>
      </c>
      <c r="I28" t="inlineStr">
        <is>
          <t>Morgan Patel</t>
        </is>
      </c>
      <c r="J28" t="inlineStr">
        <is>
          <t>Completed</t>
        </is>
      </c>
      <c r="K28" t="inlineStr">
        <is>
          <t>CRM-CENTRAL-1</t>
        </is>
      </c>
    </row>
    <row r="29">
      <c r="A29" t="inlineStr">
        <is>
          <t>O028</t>
        </is>
      </c>
      <c r="B29" t="inlineStr">
        <is>
          <t>WEB-1028</t>
        </is>
      </c>
      <c r="C29" t="inlineStr">
        <is>
          <t>2026-04-25</t>
        </is>
      </c>
      <c r="D29" t="inlineStr">
        <is>
          <t>C005</t>
        </is>
      </c>
      <c r="E29" t="inlineStr">
        <is>
          <t>P001</t>
        </is>
      </c>
      <c r="F29" t="inlineStr">
        <is>
          <t>4</t>
        </is>
      </c>
      <c r="G29" t="inlineStr">
        <is>
          <t>22.08</t>
        </is>
      </c>
      <c r="H29" t="inlineStr">
        <is>
          <t>0</t>
        </is>
      </c>
      <c r="I29" t="inlineStr">
        <is>
          <t>Riley Chen</t>
        </is>
      </c>
      <c r="J29" t="inlineStr">
        <is>
          <t>Pending</t>
        </is>
      </c>
      <c r="K29" t="inlineStr">
        <is>
          <t>CRM-NORTH-1</t>
        </is>
      </c>
    </row>
    <row r="30">
      <c r="A30" t="inlineStr">
        <is>
          <t>O029</t>
        </is>
      </c>
      <c r="B30" t="inlineStr">
        <is>
          <t>WEB-1029</t>
        </is>
      </c>
      <c r="C30" t="inlineStr">
        <is>
          <t>2026-04-29</t>
        </is>
      </c>
      <c r="D30" t="inlineStr">
        <is>
          <t>C006</t>
        </is>
      </c>
      <c r="E30" t="inlineStr">
        <is>
          <t>P003</t>
        </is>
      </c>
      <c r="F30" t="inlineStr">
        <is>
          <t>5</t>
        </is>
      </c>
      <c r="G30" t="inlineStr">
        <is>
          <t>122.55</t>
        </is>
      </c>
      <c r="H30" t="inlineStr">
        <is>
          <t>5</t>
        </is>
      </c>
      <c r="I30" t="inlineStr">
        <is>
          <t>Casey Brooks</t>
        </is>
      </c>
      <c r="J30" t="inlineStr">
        <is>
          <t>Cancelled</t>
        </is>
      </c>
      <c r="K30" t="inlineStr">
        <is>
          <t>CRM-SOUTH-1</t>
        </is>
      </c>
    </row>
    <row r="31">
      <c r="A31" t="inlineStr">
        <is>
          <t>O030</t>
        </is>
      </c>
      <c r="B31" t="inlineStr">
        <is>
          <t>WEB-1030</t>
        </is>
      </c>
      <c r="C31" t="inlineStr">
        <is>
          <t>2026-05-03</t>
        </is>
      </c>
      <c r="D31" t="inlineStr">
        <is>
          <t>C007</t>
        </is>
      </c>
      <c r="E31" t="inlineStr">
        <is>
          <t>P005</t>
        </is>
      </c>
      <c r="F31" t="inlineStr">
        <is>
          <t>1</t>
        </is>
      </c>
      <c r="G31" t="inlineStr">
        <is>
          <t>146.02</t>
        </is>
      </c>
      <c r="H31" t="inlineStr">
        <is>
          <t>10</t>
        </is>
      </c>
      <c r="I31" t="inlineStr">
        <is>
          <t>Alex Kim</t>
        </is>
      </c>
      <c r="J31" t="inlineStr">
        <is>
          <t>Completed</t>
        </is>
      </c>
      <c r="K31" t="inlineStr">
        <is>
          <t>CRM-SOUTH-2</t>
        </is>
      </c>
    </row>
    <row r="32">
      <c r="A32" t="inlineStr">
        <is>
          <t>O031</t>
        </is>
      </c>
      <c r="B32" t="inlineStr">
        <is>
          <t>WEB-1031</t>
        </is>
      </c>
      <c r="C32" t="inlineStr">
        <is>
          <t>2026-05-07</t>
        </is>
      </c>
      <c r="D32" t="inlineStr">
        <is>
          <t>C008</t>
        </is>
      </c>
      <c r="E32" t="inlineStr">
        <is>
          <t>P007</t>
        </is>
      </c>
      <c r="F32" t="inlineStr">
        <is>
          <t>2</t>
        </is>
      </c>
      <c r="G32" t="inlineStr">
        <is>
          <t>99.99</t>
        </is>
      </c>
      <c r="H32" t="inlineStr">
        <is>
          <t>15</t>
        </is>
      </c>
      <c r="I32" t="inlineStr">
        <is>
          <t>Jordan Lee</t>
        </is>
      </c>
      <c r="J32" t="inlineStr">
        <is>
          <t>Completed</t>
        </is>
      </c>
      <c r="K32" t="inlineStr">
        <is>
          <t>CRM-EAST-2</t>
        </is>
      </c>
    </row>
    <row r="33">
      <c r="A33" t="inlineStr">
        <is>
          <t>O032</t>
        </is>
      </c>
      <c r="B33" t="inlineStr">
        <is>
          <t>WEB-1032</t>
        </is>
      </c>
      <c r="C33" t="inlineStr">
        <is>
          <t>2026-05-11</t>
        </is>
      </c>
      <c r="D33" t="inlineStr">
        <is>
          <t>C009</t>
        </is>
      </c>
      <c r="E33" t="inlineStr">
        <is>
          <t>P002</t>
        </is>
      </c>
      <c r="F33" t="inlineStr">
        <is>
          <t>3</t>
        </is>
      </c>
      <c r="G33" t="inlineStr">
        <is>
          <t>72.68</t>
        </is>
      </c>
      <c r="H33" t="inlineStr">
        <is>
          <t>0</t>
        </is>
      </c>
      <c r="I33" t="inlineStr">
        <is>
          <t>Morgan Patel</t>
        </is>
      </c>
      <c r="J33" t="inlineStr">
        <is>
          <t>Completed</t>
        </is>
      </c>
      <c r="K33" t="inlineStr">
        <is>
          <t>CRM-WEST-2</t>
        </is>
      </c>
    </row>
    <row r="34">
      <c r="A34" t="inlineStr">
        <is>
          <t>O033</t>
        </is>
      </c>
      <c r="B34" t="inlineStr">
        <is>
          <t>WEB-1033</t>
        </is>
      </c>
      <c r="C34" t="inlineStr">
        <is>
          <t>2026-05-15</t>
        </is>
      </c>
      <c r="D34" t="inlineStr">
        <is>
          <t>C010</t>
        </is>
      </c>
      <c r="E34" t="inlineStr">
        <is>
          <t>P004</t>
        </is>
      </c>
      <c r="F34" t="inlineStr">
        <is>
          <t>4</t>
        </is>
      </c>
      <c r="G34" t="inlineStr">
        <is>
          <t>255.55</t>
        </is>
      </c>
      <c r="H34" t="inlineStr"/>
      <c r="I34" t="inlineStr">
        <is>
          <t>Riley Chen</t>
        </is>
      </c>
      <c r="J34" t="inlineStr">
        <is>
          <t>Pending</t>
        </is>
      </c>
      <c r="K34" t="inlineStr">
        <is>
          <t>CRM-CENTRAL-2</t>
        </is>
      </c>
    </row>
    <row r="35">
      <c r="A35" t="inlineStr">
        <is>
          <t>O034</t>
        </is>
      </c>
      <c r="B35" t="inlineStr">
        <is>
          <t>WEB-1034</t>
        </is>
      </c>
      <c r="C35" t="inlineStr">
        <is>
          <t>2026-05-19</t>
        </is>
      </c>
      <c r="D35" t="inlineStr">
        <is>
          <t>C011</t>
        </is>
      </c>
      <c r="E35" t="inlineStr">
        <is>
          <t>P006</t>
        </is>
      </c>
      <c r="F35" t="inlineStr">
        <is>
          <t>5</t>
        </is>
      </c>
      <c r="G35" t="inlineStr">
        <is>
          <t>136.22</t>
        </is>
      </c>
      <c r="H35" t="inlineStr">
        <is>
          <t>10</t>
        </is>
      </c>
      <c r="I35" t="inlineStr">
        <is>
          <t>Casey Brooks</t>
        </is>
      </c>
      <c r="J35" t="inlineStr">
        <is>
          <t>Cancelled</t>
        </is>
      </c>
      <c r="K35" t="inlineStr">
        <is>
          <t>CRM-NORTH-1</t>
        </is>
      </c>
    </row>
    <row r="36">
      <c r="A36" t="inlineStr">
        <is>
          <t>O035</t>
        </is>
      </c>
      <c r="B36" t="inlineStr">
        <is>
          <t>WEB-1035</t>
        </is>
      </c>
      <c r="C36" t="inlineStr">
        <is>
          <t>2026-05-23</t>
        </is>
      </c>
      <c r="D36" t="inlineStr">
        <is>
          <t>C012</t>
        </is>
      </c>
      <c r="E36" t="inlineStr">
        <is>
          <t>P001</t>
        </is>
      </c>
      <c r="F36" t="inlineStr">
        <is>
          <t>1</t>
        </is>
      </c>
      <c r="G36" t="inlineStr">
        <is>
          <t>24.24</t>
        </is>
      </c>
      <c r="H36" t="inlineStr">
        <is>
          <t>15</t>
        </is>
      </c>
      <c r="I36" t="inlineStr">
        <is>
          <t>Alex Kim</t>
        </is>
      </c>
      <c r="J36" t="inlineStr">
        <is>
          <t>Completed</t>
        </is>
      </c>
      <c r="K36" t="inlineStr">
        <is>
          <t>CRM-SOUTH-3</t>
        </is>
      </c>
    </row>
    <row r="37">
      <c r="A37" t="inlineStr">
        <is>
          <t>O036</t>
        </is>
      </c>
      <c r="B37" t="inlineStr">
        <is>
          <t>WEB-1017</t>
        </is>
      </c>
      <c r="C37" t="inlineStr">
        <is>
          <t>2026-05-27</t>
        </is>
      </c>
      <c r="D37" t="inlineStr">
        <is>
          <t>C001</t>
        </is>
      </c>
      <c r="E37" t="inlineStr">
        <is>
          <t>P003</t>
        </is>
      </c>
      <c r="F37" t="inlineStr">
        <is>
          <t>2</t>
        </is>
      </c>
      <c r="G37" t="inlineStr">
        <is>
          <t>118.68</t>
        </is>
      </c>
      <c r="H37" t="inlineStr">
        <is>
          <t>0</t>
        </is>
      </c>
      <c r="I37" t="inlineStr">
        <is>
          <t>Jordan Lee</t>
        </is>
      </c>
      <c r="J37" t="inlineStr">
        <is>
          <t>Completed</t>
        </is>
      </c>
      <c r="K37" t="inlineStr">
        <is>
          <t>CRM-NORTH-1</t>
        </is>
      </c>
    </row>
    <row r="38">
      <c r="A38" t="inlineStr">
        <is>
          <t>O037</t>
        </is>
      </c>
      <c r="B38" t="inlineStr">
        <is>
          <t>WEB-1037</t>
        </is>
      </c>
      <c r="C38" t="inlineStr">
        <is>
          <t>2026-05-31</t>
        </is>
      </c>
      <c r="D38" t="inlineStr">
        <is>
          <t>C002</t>
        </is>
      </c>
      <c r="E38" t="inlineStr">
        <is>
          <t>P005</t>
        </is>
      </c>
      <c r="F38" t="inlineStr">
        <is>
          <t>3</t>
        </is>
      </c>
      <c r="G38" t="inlineStr">
        <is>
          <t>141.55</t>
        </is>
      </c>
      <c r="H38" t="inlineStr">
        <is>
          <t>5</t>
        </is>
      </c>
      <c r="I38" t="inlineStr">
        <is>
          <t>Morgan Patel</t>
        </is>
      </c>
      <c r="J38" t="inlineStr">
        <is>
          <t>Completed</t>
        </is>
      </c>
      <c r="K38" t="inlineStr">
        <is>
          <t>CRM-WEST-1</t>
        </is>
      </c>
    </row>
    <row r="39">
      <c r="A39" t="inlineStr">
        <is>
          <t>O038</t>
        </is>
      </c>
      <c r="B39" t="inlineStr">
        <is>
          <t>WEB-1038</t>
        </is>
      </c>
      <c r="C39" t="inlineStr">
        <is>
          <t>2026-06-04</t>
        </is>
      </c>
      <c r="D39" t="inlineStr">
        <is>
          <t>C003</t>
        </is>
      </c>
      <c r="E39" t="inlineStr">
        <is>
          <t>P007</t>
        </is>
      </c>
      <c r="F39" t="inlineStr">
        <is>
          <t>4</t>
        </is>
      </c>
      <c r="G39" t="inlineStr">
        <is>
          <t>97.02</t>
        </is>
      </c>
      <c r="H39" t="inlineStr">
        <is>
          <t>10</t>
        </is>
      </c>
      <c r="I39" t="inlineStr">
        <is>
          <t>Riley Chen</t>
        </is>
      </c>
      <c r="J39" t="inlineStr">
        <is>
          <t>Pending</t>
        </is>
      </c>
      <c r="K39" t="inlineStr">
        <is>
          <t>CRM-EAST-1</t>
        </is>
      </c>
    </row>
    <row r="40">
      <c r="A40" t="inlineStr">
        <is>
          <t>O039</t>
        </is>
      </c>
      <c r="B40" t="inlineStr">
        <is>
          <t>WEB-1039</t>
        </is>
      </c>
      <c r="C40" t="inlineStr">
        <is>
          <t>2026-06-08</t>
        </is>
      </c>
      <c r="D40" t="inlineStr">
        <is>
          <t>C004</t>
        </is>
      </c>
      <c r="E40" t="inlineStr">
        <is>
          <t>P002</t>
        </is>
      </c>
      <c r="F40" t="inlineStr">
        <is>
          <t>5</t>
        </is>
      </c>
      <c r="G40" t="inlineStr">
        <is>
          <t>79.79</t>
        </is>
      </c>
      <c r="H40" t="inlineStr">
        <is>
          <t>15</t>
        </is>
      </c>
      <c r="I40" t="inlineStr"/>
      <c r="J40" t="inlineStr">
        <is>
          <t>Cancelled</t>
        </is>
      </c>
      <c r="K40" t="inlineStr">
        <is>
          <t>CRM-CENTRAL-1</t>
        </is>
      </c>
    </row>
    <row r="41">
      <c r="A41" t="inlineStr">
        <is>
          <t>O040</t>
        </is>
      </c>
      <c r="B41" t="inlineStr">
        <is>
          <t>WEB-1040</t>
        </is>
      </c>
      <c r="C41" t="inlineStr">
        <is>
          <t>2026-06-12</t>
        </is>
      </c>
      <c r="D41" t="inlineStr">
        <is>
          <t>C005</t>
        </is>
      </c>
      <c r="E41" t="inlineStr">
        <is>
          <t>P004</t>
        </is>
      </c>
      <c r="F41" t="inlineStr">
        <is>
          <t>1</t>
        </is>
      </c>
      <c r="G41" t="inlineStr">
        <is>
          <t>247.48</t>
        </is>
      </c>
      <c r="H41" t="inlineStr">
        <is>
          <t>0</t>
        </is>
      </c>
      <c r="I41" t="inlineStr">
        <is>
          <t>Alex Kim</t>
        </is>
      </c>
      <c r="J41" t="inlineStr">
        <is>
          <t>Completed</t>
        </is>
      </c>
      <c r="K41" t="inlineStr">
        <is>
          <t>CRM-NORTH-2</t>
        </is>
      </c>
    </row>
    <row r="42">
      <c r="A42" t="inlineStr">
        <is>
          <t>O041</t>
        </is>
      </c>
      <c r="B42" t="inlineStr">
        <is>
          <t>WEB-1041</t>
        </is>
      </c>
      <c r="C42" t="inlineStr">
        <is>
          <t>2026-06-16</t>
        </is>
      </c>
      <c r="D42" t="inlineStr">
        <is>
          <t>C006</t>
        </is>
      </c>
      <c r="E42" t="inlineStr">
        <is>
          <t>P006</t>
        </is>
      </c>
      <c r="F42" t="inlineStr">
        <is>
          <t>2</t>
        </is>
      </c>
      <c r="G42" t="inlineStr">
        <is>
          <t>132.05</t>
        </is>
      </c>
      <c r="H42" t="inlineStr">
        <is>
          <t>5</t>
        </is>
      </c>
      <c r="I42" t="inlineStr">
        <is>
          <t>Jordan Lee</t>
        </is>
      </c>
      <c r="J42" t="inlineStr">
        <is>
          <t>Completed</t>
        </is>
      </c>
      <c r="K42" t="inlineStr">
        <is>
          <t>CRM-SOUTH-1</t>
        </is>
      </c>
    </row>
    <row r="43">
      <c r="A43" t="inlineStr">
        <is>
          <t>O042</t>
        </is>
      </c>
      <c r="B43" t="inlineStr">
        <is>
          <t>WEB-1042</t>
        </is>
      </c>
      <c r="C43" t="inlineStr">
        <is>
          <t>2026-06-20</t>
        </is>
      </c>
      <c r="D43" t="inlineStr">
        <is>
          <t>C007</t>
        </is>
      </c>
      <c r="E43" t="inlineStr">
        <is>
          <t>P001</t>
        </is>
      </c>
      <c r="F43" t="inlineStr">
        <is>
          <t>3</t>
        </is>
      </c>
      <c r="G43" t="inlineStr">
        <is>
          <t>23.52</t>
        </is>
      </c>
      <c r="H43" t="inlineStr">
        <is>
          <t>10</t>
        </is>
      </c>
      <c r="I43" t="inlineStr">
        <is>
          <t>Morgan Patel</t>
        </is>
      </c>
      <c r="J43" t="inlineStr">
        <is>
          <t>Completed</t>
        </is>
      </c>
      <c r="K43" t="inlineStr">
        <is>
          <t>CRM-NORTH-1</t>
        </is>
      </c>
    </row>
    <row r="44">
      <c r="A44" t="inlineStr">
        <is>
          <t>O043</t>
        </is>
      </c>
      <c r="B44" t="inlineStr">
        <is>
          <t>WEB-1043</t>
        </is>
      </c>
      <c r="C44" t="inlineStr">
        <is>
          <t>2026-06-24</t>
        </is>
      </c>
      <c r="D44" t="inlineStr">
        <is>
          <t>C008</t>
        </is>
      </c>
      <c r="E44" t="inlineStr">
        <is>
          <t>P003</t>
        </is>
      </c>
      <c r="F44" t="inlineStr">
        <is>
          <t>4</t>
        </is>
      </c>
      <c r="G44" t="inlineStr">
        <is>
          <t>130.29</t>
        </is>
      </c>
      <c r="H44" t="inlineStr">
        <is>
          <t>15</t>
        </is>
      </c>
      <c r="I44" t="inlineStr">
        <is>
          <t>Riley Chen</t>
        </is>
      </c>
      <c r="J44" t="inlineStr">
        <is>
          <t>Pending</t>
        </is>
      </c>
      <c r="K44" t="inlineStr">
        <is>
          <t>CRM-EAST-2</t>
        </is>
      </c>
    </row>
    <row r="45">
      <c r="A45" t="inlineStr">
        <is>
          <t>O044</t>
        </is>
      </c>
      <c r="B45" t="inlineStr">
        <is>
          <t>WEB-1044</t>
        </is>
      </c>
      <c r="C45" t="inlineStr">
        <is>
          <t>2026-06-28</t>
        </is>
      </c>
      <c r="D45" t="inlineStr">
        <is>
          <t>C009</t>
        </is>
      </c>
      <c r="E45" t="inlineStr">
        <is>
          <t>P005</t>
        </is>
      </c>
      <c r="F45" t="inlineStr">
        <is>
          <t>5</t>
        </is>
      </c>
      <c r="G45" t="inlineStr">
        <is>
          <t>137.08</t>
        </is>
      </c>
      <c r="H45" t="inlineStr"/>
      <c r="I45" t="inlineStr">
        <is>
          <t>Casey Brooks</t>
        </is>
      </c>
      <c r="J45" t="inlineStr">
        <is>
          <t>Cancelled</t>
        </is>
      </c>
      <c r="K45" t="inlineStr">
        <is>
          <t>CRM-WEST-2</t>
        </is>
      </c>
    </row>
    <row r="46">
      <c r="A46" t="inlineStr">
        <is>
          <t>O045</t>
        </is>
      </c>
      <c r="B46" t="inlineStr">
        <is>
          <t>WEB-1045</t>
        </is>
      </c>
      <c r="C46" t="inlineStr">
        <is>
          <t>2026-07-02</t>
        </is>
      </c>
      <c r="D46" t="inlineStr">
        <is>
          <t>C010</t>
        </is>
      </c>
      <c r="E46" t="inlineStr">
        <is>
          <t>P007</t>
        </is>
      </c>
      <c r="F46" t="inlineStr">
        <is>
          <t>1</t>
        </is>
      </c>
      <c r="G46" t="inlineStr">
        <is>
          <t>94.05</t>
        </is>
      </c>
      <c r="H46" t="inlineStr">
        <is>
          <t>5</t>
        </is>
      </c>
      <c r="I46" t="inlineStr">
        <is>
          <t>Alex Kim</t>
        </is>
      </c>
      <c r="J46" t="inlineStr">
        <is>
          <t>Completed</t>
        </is>
      </c>
      <c r="K46" t="inlineStr">
        <is>
          <t>CRM-CENTRAL-2</t>
        </is>
      </c>
    </row>
    <row r="47">
      <c r="A47" t="inlineStr">
        <is>
          <t>O046</t>
        </is>
      </c>
      <c r="B47" t="inlineStr">
        <is>
          <t>WEB-1046</t>
        </is>
      </c>
      <c r="C47" t="inlineStr">
        <is>
          <t>2026-07-06</t>
        </is>
      </c>
      <c r="D47" t="inlineStr">
        <is>
          <t>C011</t>
        </is>
      </c>
      <c r="E47" t="inlineStr">
        <is>
          <t>P002</t>
        </is>
      </c>
      <c r="F47" t="inlineStr">
        <is>
          <t>2</t>
        </is>
      </c>
      <c r="G47" t="inlineStr">
        <is>
          <t>77.42</t>
        </is>
      </c>
      <c r="H47" t="inlineStr">
        <is>
          <t>10</t>
        </is>
      </c>
      <c r="I47" t="inlineStr">
        <is>
          <t>Jordan Lee</t>
        </is>
      </c>
      <c r="J47" t="inlineStr">
        <is>
          <t>Completed</t>
        </is>
      </c>
      <c r="K47" t="inlineStr">
        <is>
          <t>CRM-NORTH-1</t>
        </is>
      </c>
    </row>
    <row r="48">
      <c r="A48" t="inlineStr">
        <is>
          <t>O047</t>
        </is>
      </c>
      <c r="B48" t="inlineStr">
        <is>
          <t>WEB-1047</t>
        </is>
      </c>
      <c r="C48" t="inlineStr">
        <is>
          <t>2026-07-10</t>
        </is>
      </c>
      <c r="D48" t="inlineStr">
        <is>
          <t>C012</t>
        </is>
      </c>
      <c r="E48" t="inlineStr">
        <is>
          <t>P004</t>
        </is>
      </c>
      <c r="F48" t="inlineStr">
        <is>
          <t>3</t>
        </is>
      </c>
      <c r="G48" t="inlineStr">
        <is>
          <t>271.69</t>
        </is>
      </c>
      <c r="H48" t="inlineStr">
        <is>
          <t>15</t>
        </is>
      </c>
      <c r="I48" t="inlineStr">
        <is>
          <t>Morgan Patel</t>
        </is>
      </c>
      <c r="J48" t="inlineStr">
        <is>
          <t>Completed</t>
        </is>
      </c>
      <c r="K48" t="inlineStr">
        <is>
          <t>CRM-SOUTH-3</t>
        </is>
      </c>
    </row>
    <row r="49">
      <c r="A49" t="inlineStr">
        <is>
          <t>O048</t>
        </is>
      </c>
      <c r="B49" t="inlineStr">
        <is>
          <t>WEB-1048</t>
        </is>
      </c>
      <c r="C49" t="inlineStr">
        <is>
          <t>2026-07-14</t>
        </is>
      </c>
      <c r="D49" t="inlineStr">
        <is>
          <t>C001</t>
        </is>
      </c>
      <c r="E49" t="inlineStr">
        <is>
          <t>P006</t>
        </is>
      </c>
      <c r="F49" t="inlineStr">
        <is>
          <t>4</t>
        </is>
      </c>
      <c r="G49" t="inlineStr">
        <is>
          <t>127.88</t>
        </is>
      </c>
      <c r="H49" t="inlineStr">
        <is>
          <t>0</t>
        </is>
      </c>
      <c r="I49" t="inlineStr">
        <is>
          <t>Riley Chen</t>
        </is>
      </c>
      <c r="J49" t="inlineStr">
        <is>
          <t>Pending</t>
        </is>
      </c>
      <c r="K49" t="inlineStr">
        <is>
          <t>CRM-NORTH-1</t>
        </is>
      </c>
    </row>
    <row r="50">
      <c r="A50" t="inlineStr">
        <is>
          <t>O049</t>
        </is>
      </c>
      <c r="B50" t="inlineStr">
        <is>
          <t>WEB-1049</t>
        </is>
      </c>
      <c r="C50" t="inlineStr">
        <is>
          <t>2026-07-18</t>
        </is>
      </c>
      <c r="D50" t="inlineStr">
        <is>
          <t>C002</t>
        </is>
      </c>
      <c r="E50" t="inlineStr">
        <is>
          <t>P001</t>
        </is>
      </c>
      <c r="F50" t="inlineStr">
        <is>
          <t>5</t>
        </is>
      </c>
      <c r="G50" t="inlineStr">
        <is>
          <t>22.80</t>
        </is>
      </c>
      <c r="H50" t="inlineStr">
        <is>
          <t>5</t>
        </is>
      </c>
      <c r="I50" t="inlineStr">
        <is>
          <t>Casey Brooks</t>
        </is>
      </c>
      <c r="J50" t="inlineStr">
        <is>
          <t>Cancelled</t>
        </is>
      </c>
      <c r="K50" t="inlineStr">
        <is>
          <t>CRM-WEST-1</t>
        </is>
      </c>
    </row>
    <row r="51">
      <c r="A51" t="inlineStr">
        <is>
          <t>O050</t>
        </is>
      </c>
      <c r="B51" t="inlineStr">
        <is>
          <t>WEB-1050</t>
        </is>
      </c>
      <c r="C51" t="inlineStr">
        <is>
          <t>2026-07-22</t>
        </is>
      </c>
      <c r="D51" t="inlineStr">
        <is>
          <t>C003</t>
        </is>
      </c>
      <c r="E51" t="inlineStr">
        <is>
          <t>P003</t>
        </is>
      </c>
      <c r="F51" t="inlineStr">
        <is>
          <t>1</t>
        </is>
      </c>
      <c r="G51" t="inlineStr">
        <is>
          <t>126.42</t>
        </is>
      </c>
      <c r="H51" t="inlineStr">
        <is>
          <t>10</t>
        </is>
      </c>
      <c r="I51" t="inlineStr">
        <is>
          <t>Alex Kim</t>
        </is>
      </c>
      <c r="J51" t="inlineStr">
        <is>
          <t>Completed</t>
        </is>
      </c>
      <c r="K51" t="inlineStr">
        <is>
          <t>CRM-EAST-1</t>
        </is>
      </c>
    </row>
    <row r="52">
      <c r="A52" t="inlineStr">
        <is>
          <t>O051</t>
        </is>
      </c>
      <c r="B52" t="inlineStr">
        <is>
          <t>WEB-1051</t>
        </is>
      </c>
      <c r="C52" t="inlineStr">
        <is>
          <t>2026-07-26</t>
        </is>
      </c>
      <c r="D52" t="inlineStr">
        <is>
          <t>C004</t>
        </is>
      </c>
      <c r="E52" t="inlineStr">
        <is>
          <t>P005</t>
        </is>
      </c>
      <c r="F52" t="inlineStr">
        <is>
          <t>2</t>
        </is>
      </c>
      <c r="G52" t="inlineStr">
        <is>
          <t>150.49</t>
        </is>
      </c>
      <c r="H52" t="inlineStr">
        <is>
          <t>15</t>
        </is>
      </c>
      <c r="I52" t="inlineStr">
        <is>
          <t>Jordan Lee</t>
        </is>
      </c>
      <c r="J52" t="inlineStr">
        <is>
          <t>Completed</t>
        </is>
      </c>
      <c r="K52" t="inlineStr">
        <is>
          <t>CRM-CENTRAL-1</t>
        </is>
      </c>
    </row>
    <row r="53">
      <c r="A53" t="inlineStr">
        <is>
          <t>O052</t>
        </is>
      </c>
      <c r="B53" t="inlineStr">
        <is>
          <t>WEB-1052</t>
        </is>
      </c>
      <c r="C53" t="inlineStr">
        <is>
          <t>2026-07-30</t>
        </is>
      </c>
      <c r="D53" t="inlineStr">
        <is>
          <t>C005</t>
        </is>
      </c>
      <c r="E53" t="inlineStr">
        <is>
          <t>P007</t>
        </is>
      </c>
      <c r="F53" t="inlineStr">
        <is>
          <t>3</t>
        </is>
      </c>
      <c r="G53" t="inlineStr">
        <is>
          <t>91.08</t>
        </is>
      </c>
      <c r="H53" t="inlineStr">
        <is>
          <t>0</t>
        </is>
      </c>
      <c r="I53" t="inlineStr"/>
      <c r="J53" t="inlineStr">
        <is>
          <t>Completed</t>
        </is>
      </c>
      <c r="K53" t="inlineStr">
        <is>
          <t>CRM-NORTH-2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76" customWidth="1" min="3" max="3"/>
  </cols>
  <sheetData>
    <row r="1">
      <c r="A1" s="2" t="inlineStr">
        <is>
          <t>Pattern</t>
        </is>
      </c>
      <c r="B1" s="2" t="inlineStr">
        <is>
          <t>Formula</t>
        </is>
      </c>
      <c r="C1" s="2" t="inlineStr">
        <is>
          <t>Notes</t>
        </is>
      </c>
    </row>
    <row r="2">
      <c r="A2" t="inlineStr">
        <is>
          <t>Conditional Logic</t>
        </is>
      </c>
      <c r="B2">
        <f>IF([@[order_status]]="Completed","Count","Review")</f>
        <v/>
      </c>
      <c r="C2" t="inlineStr">
        <is>
          <t>Equivalent intent: SQL CASE / DAX IF</t>
        </is>
      </c>
    </row>
    <row r="3">
      <c r="A3" t="inlineStr">
        <is>
          <t>Lookup</t>
        </is>
      </c>
      <c r="B3">
        <f>XLOOKUP([@[customer_id]],Customers[customer_id],Customers[region],"Missing")</f>
        <v/>
      </c>
      <c r="C3" t="inlineStr">
        <is>
          <t>XLOOKUP returns one value; SQL LEFT JOIN may duplicate rows with non-unique keys</t>
        </is>
      </c>
    </row>
    <row r="4">
      <c r="A4" t="inlineStr">
        <is>
          <t>Conditional Sum</t>
        </is>
      </c>
      <c r="B4">
        <f>SUMIFS(Orders[quantity],Orders[order_status],"Completed")</f>
        <v/>
      </c>
      <c r="C4" t="inlineStr">
        <is>
          <t>Equivalent intent: SUM with WHERE</t>
        </is>
      </c>
    </row>
    <row r="5">
      <c r="A5" t="inlineStr">
        <is>
          <t>Conditional Count</t>
        </is>
      </c>
      <c r="B5">
        <f>COUNTIFS(Orders[order_status],"Completed",Orders[sales_rep],"Alex Kim")</f>
        <v/>
      </c>
      <c r="C5" t="inlineStr">
        <is>
          <t>Equivalent intent: COUNT with predicates</t>
        </is>
      </c>
    </row>
    <row r="6">
      <c r="A6" t="inlineStr">
        <is>
          <t>Distinct Values</t>
        </is>
      </c>
      <c r="B6">
        <f>UNIQUE(Customers[region])</f>
        <v/>
      </c>
      <c r="C6" t="inlineStr">
        <is>
          <t>Equivalent intent: DISTINCT / VALUES</t>
        </is>
      </c>
    </row>
    <row r="7">
      <c r="A7" t="inlineStr">
        <is>
          <t>Running Total</t>
        </is>
      </c>
      <c r="B7">
        <f>SUM($K$2:K2)</f>
        <v/>
      </c>
      <c r="C7" t="inlineStr">
        <is>
          <t>Requires deterministic sort order</t>
        </is>
      </c>
    </row>
    <row r="8">
      <c r="A8" t="inlineStr">
        <is>
          <t>Rank</t>
        </is>
      </c>
      <c r="B8">
        <f>RANK.EQ([@[unit_price]],Orders[unit_price],0)</f>
        <v/>
      </c>
      <c r="C8" t="inlineStr">
        <is>
          <t>Compare to SQL RANK/DENSE_RANK/ROW_NUMBER</t>
        </is>
      </c>
    </row>
    <row r="9">
      <c r="A9" t="inlineStr">
        <is>
          <t>Missing Value Handling</t>
        </is>
      </c>
      <c r="B9">
        <f>IFERROR([@[unit_price]]*[@[quantity]],0)</f>
        <v/>
      </c>
      <c r="C9" t="inlineStr">
        <is>
          <t>Contrast blanks, empty strings, NULL, null and BLANK()</t>
        </is>
      </c>
    </row>
    <row r="10">
      <c r="A10" t="inlineStr">
        <is>
          <t>Duplicate Detection</t>
        </is>
      </c>
      <c r="B10">
        <f>COUNTIF(Orders[source_order_ref],[@[source_order_ref]])</f>
        <v/>
      </c>
      <c r="C10" t="inlineStr">
        <is>
          <t>Values greater than 1 indicate duplicates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</cols>
  <sheetData>
    <row r="1">
      <c r="A1" s="2" t="inlineStr">
        <is>
          <t>Metric</t>
        </is>
      </c>
      <c r="B1" s="2" t="inlineStr">
        <is>
          <t>Formula / Value</t>
        </is>
      </c>
    </row>
    <row r="2">
      <c r="A2" t="inlineStr">
        <is>
          <t>Order Rows</t>
        </is>
      </c>
      <c r="B2" t="inlineStr">
        <is>
          <t>52</t>
        </is>
      </c>
    </row>
    <row r="3">
      <c r="A3" t="inlineStr">
        <is>
          <t>Total Revenue</t>
        </is>
      </c>
      <c r="B3">
        <f>SUMPRODUCT(Orders[quantity],Orders[unit_price],1-(Orders[discount_pct]/100))</f>
        <v/>
      </c>
    </row>
    <row r="4">
      <c r="A4" t="inlineStr">
        <is>
          <t>Completed Orders</t>
        </is>
      </c>
      <c r="B4">
        <f>COUNTIFS(Orders[order_status],"Completed")</f>
        <v/>
      </c>
    </row>
    <row r="5">
      <c r="A5" t="inlineStr">
        <is>
          <t>Distinct Customers</t>
        </is>
      </c>
      <c r="B5">
        <f>COUNTA(UNIQUE(Orders[customer_id]))</f>
        <v/>
      </c>
    </row>
    <row r="6">
      <c r="A6" t="inlineStr">
        <is>
          <t>Top Region (by completed revenue)</t>
        </is>
      </c>
      <c r="B6" t="inlineStr">
        <is>
          <t>Build using PivotTable filter or SORTBY over a region summary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excel-to-sql-data-workflows</dc:creator>
  <dcterms:created xsi:type="dcterms:W3CDTF">2026-01-01T00:00:00Z</dcterms:created>
  <dcterms:modified xsi:type="dcterms:W3CDTF">2026-07-31T22:06:38Z</dcterms:modified>
  <cp:lastModifiedBy>excel-to-sql-data-workflows</cp:lastModifiedBy>
</cp:coreProperties>
</file>